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 ERP Tota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4444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8FC"/>
        <bgColor rgb="00F5F8FC"/>
      </patternFill>
    </fill>
    <fill>
      <patternFill patternType="solid">
        <fgColor rgb="00E1ECF7"/>
        <bgColor rgb="00E1ECF7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/>
      <top/>
      <bottom/>
      <diagonal/>
    </border>
    <border>
      <left style="thin">
        <color rgb="00D0D7DE"/>
      </left>
      <right style="thin">
        <color rgb="00D0D7DE"/>
      </right>
      <top/>
      <bottom/>
      <diagonal/>
    </border>
    <border>
      <left style="thin">
        <color rgb="00D0D7DE"/>
      </left>
      <right style="thin">
        <color rgb="00D0D7DE"/>
      </right>
      <top/>
      <bottom style="thin">
        <color rgb="00D0D7D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55" customWidth="1" min="4" max="4"/>
    <col width="21" customWidth="1" min="5" max="5"/>
    <col width="26" customWidth="1" min="6" max="6"/>
    <col width="24" customWidth="1" min="7" max="7"/>
    <col width="27" customWidth="1" min="8" max="8"/>
    <col width="25" customWidth="1" min="9" max="9"/>
  </cols>
  <sheetData>
    <row r="1">
      <c r="A1" s="1" t="inlineStr">
        <is>
          <t>TEMPARIO MAESTRO COMPLETO Y HOMOLOGADO PARA ERPS AUTOMOTRICES</t>
        </is>
      </c>
    </row>
    <row r="2">
      <c r="A2" s="2" t="inlineStr">
        <is>
          <t>Estructura Avanzada de Grupos Constructivos: Combustibles Alternativos, Sistemas de Alta Tensión y Nuevas Tecnologías (Paraguay 2026)</t>
        </is>
      </c>
    </row>
    <row r="3"/>
    <row r="4" ht="30" customHeight="1">
      <c r="A4" s="3" t="inlineStr">
        <is>
          <t>Código Servicio (ID_ERP)</t>
        </is>
      </c>
      <c r="B4" s="3" t="inlineStr">
        <is>
          <t>Grupo Constructivo (Familia)</t>
        </is>
      </c>
      <c r="C4" s="3" t="inlineStr">
        <is>
          <t>Subgrupo / Sistema</t>
        </is>
      </c>
      <c r="D4" s="3" t="inlineStr">
        <is>
          <t>Operación / Tipo de Repuesto</t>
        </is>
      </c>
      <c r="E4" s="3" t="inlineStr">
        <is>
          <t>Horas Base (Japón)</t>
        </is>
      </c>
      <c r="F4" s="3" t="inlineStr">
        <is>
          <t>Factor Corea (LPI/CRDI)</t>
        </is>
      </c>
      <c r="G4" s="3" t="inlineStr">
        <is>
          <t>Factor Americano/Euro</t>
        </is>
      </c>
      <c r="H4" s="3" t="inlineStr">
        <is>
          <t>Factor Eléctricos/HEV/H2</t>
        </is>
      </c>
      <c r="I4" s="3" t="inlineStr">
        <is>
          <t>Horas ERP Recomendadas</t>
        </is>
      </c>
    </row>
    <row r="5">
      <c r="A5" s="4" t="inlineStr">
        <is>
          <t>INM-ELN-001</t>
        </is>
      </c>
      <c r="B5" s="5" t="inlineStr">
        <is>
          <t>1. Inyección Electrónica</t>
        </is>
      </c>
      <c r="C5" s="5" t="inlineStr">
        <is>
          <t>Sensores y Actuadores</t>
        </is>
      </c>
      <c r="D5" s="5" t="inlineStr">
        <is>
          <t>Diagnóstico, reemplazo y calibración de cuerpo de aceleración motorizado</t>
        </is>
      </c>
      <c r="E5" s="6" t="n">
        <v>1.2</v>
      </c>
      <c r="F5" s="7" t="n">
        <v>1.1</v>
      </c>
      <c r="G5" s="7" t="n">
        <v>1.25</v>
      </c>
      <c r="H5" s="7" t="n">
        <v>1.2</v>
      </c>
      <c r="I5" s="8">
        <f>E5*MAX(F5:H5)</f>
        <v/>
      </c>
    </row>
    <row r="6">
      <c r="A6" s="4" t="inlineStr">
        <is>
          <t>INM-ELN-002</t>
        </is>
      </c>
      <c r="B6" s="9" t="n"/>
      <c r="C6" s="5" t="inlineStr">
        <is>
          <t>Alimentación de Combustible</t>
        </is>
      </c>
      <c r="D6" s="5" t="inlineStr">
        <is>
          <t>Limpieza ultrasónica, banco de pruebas y cambio de sellos de inyectores nafta/flex</t>
        </is>
      </c>
      <c r="E6" s="6" t="n">
        <v>1.8</v>
      </c>
      <c r="F6" s="7" t="n">
        <v>1.15</v>
      </c>
      <c r="G6" s="7" t="n">
        <v>1.3</v>
      </c>
      <c r="H6" s="7" t="n">
        <v>1.1</v>
      </c>
      <c r="I6" s="8">
        <f>E6*MAX(F6:H6)</f>
        <v/>
      </c>
    </row>
    <row r="7">
      <c r="A7" s="4" t="inlineStr">
        <is>
          <t>INM-ELN-003</t>
        </is>
      </c>
      <c r="B7" s="10" t="n"/>
      <c r="C7" s="5" t="inlineStr">
        <is>
          <t>Gestión de Emisiones</t>
        </is>
      </c>
      <c r="D7" s="5" t="inlineStr">
        <is>
          <t>Reemplazo de Sonda Lambda (Sensor O2) o válvula EGR obstruida por hollín local</t>
        </is>
      </c>
      <c r="E7" s="6" t="n">
        <v>1.1</v>
      </c>
      <c r="F7" s="7" t="n">
        <v>1.2</v>
      </c>
      <c r="G7" s="7" t="n">
        <v>1.35</v>
      </c>
      <c r="H7" s="7" t="n">
        <v>1.15</v>
      </c>
      <c r="I7" s="8">
        <f>E7*MAX(F7:H7)</f>
        <v/>
      </c>
    </row>
    <row r="8">
      <c r="A8" s="11" t="inlineStr">
        <is>
          <t>EVO-BAT-001</t>
        </is>
      </c>
      <c r="B8" s="12" t="inlineStr">
        <is>
          <t>2. Vehículos Eléctricos (BEV)</t>
        </is>
      </c>
      <c r="C8" s="12" t="inlineStr">
        <is>
          <t>Batería de Tracción (HV)</t>
        </is>
      </c>
      <c r="D8" s="12" t="inlineStr">
        <is>
          <t>Protocolo de aislamiento de alta tensión, desmontaje y balanceo de celdas del pack de Litio</t>
        </is>
      </c>
      <c r="E8" s="13" t="n">
        <v>5.5</v>
      </c>
      <c r="F8" s="14" t="n">
        <v>1</v>
      </c>
      <c r="G8" s="14" t="n">
        <v>1.3</v>
      </c>
      <c r="H8" s="14" t="n">
        <v>1.6</v>
      </c>
      <c r="I8" s="8">
        <f>E8*MAX(F8:H8)</f>
        <v/>
      </c>
    </row>
    <row r="9">
      <c r="A9" s="11" t="inlineStr">
        <is>
          <t>EVO-MOT-002</t>
        </is>
      </c>
      <c r="B9" s="9" t="n"/>
      <c r="C9" s="12" t="inlineStr">
        <is>
          <t>Propulsión Eléctrica</t>
        </is>
      </c>
      <c r="D9" s="12" t="inlineStr">
        <is>
          <t>Reemplazo o servicio al Motor Síncrono de Imanes Permanentes y su reductor axial</t>
        </is>
      </c>
      <c r="E9" s="13" t="n">
        <v>4</v>
      </c>
      <c r="F9" s="14" t="n">
        <v>1</v>
      </c>
      <c r="G9" s="14" t="n">
        <v>1.25</v>
      </c>
      <c r="H9" s="14" t="n">
        <v>1.5</v>
      </c>
      <c r="I9" s="8">
        <f>E9*MAX(F9:H9)</f>
        <v/>
      </c>
    </row>
    <row r="10">
      <c r="A10" s="11" t="inlineStr">
        <is>
          <t>EVO-TRM-003</t>
        </is>
      </c>
      <c r="B10" s="9" t="n"/>
      <c r="C10" s="12" t="inlineStr">
        <is>
          <t>Gestión Térmica EV</t>
        </is>
      </c>
      <c r="D10" s="12" t="inlineStr">
        <is>
          <t>Servicio al sistema de refrigeración líquida/chiller de la batería de tracción</t>
        </is>
      </c>
      <c r="E10" s="13" t="n">
        <v>2.2</v>
      </c>
      <c r="F10" s="14" t="n">
        <v>1.1</v>
      </c>
      <c r="G10" s="14" t="n">
        <v>1.35</v>
      </c>
      <c r="H10" s="14" t="n">
        <v>1.4</v>
      </c>
      <c r="I10" s="8">
        <f>E10*MAX(F10:H10)</f>
        <v/>
      </c>
    </row>
    <row r="11">
      <c r="A11" s="11" t="inlineStr">
        <is>
          <t>EVO-INV-004</t>
        </is>
      </c>
      <c r="B11" s="10" t="n"/>
      <c r="C11" s="12" t="inlineStr">
        <is>
          <t>Inversor y Conversores</t>
        </is>
      </c>
      <c r="D11" s="12" t="inlineStr">
        <is>
          <t>Diagnóstico y sustitución del inversor de corriente (DC-AC) o conversor DC-DC</t>
        </is>
      </c>
      <c r="E11" s="13" t="n">
        <v>3</v>
      </c>
      <c r="F11" s="14" t="n">
        <v>1</v>
      </c>
      <c r="G11" s="14" t="n">
        <v>1.3</v>
      </c>
      <c r="H11" s="14" t="n">
        <v>1.5</v>
      </c>
      <c r="I11" s="8">
        <f>E11*MAX(F11:H11)</f>
        <v/>
      </c>
    </row>
    <row r="12">
      <c r="A12" s="4" t="inlineStr">
        <is>
          <t>HYB-POW-001</t>
        </is>
      </c>
      <c r="B12" s="5" t="inlineStr">
        <is>
          <t>3. Vehículos Híbridos</t>
        </is>
      </c>
      <c r="C12" s="5" t="inlineStr">
        <is>
          <t>Transmisión Híbrida (e-CVT)</t>
        </is>
      </c>
      <c r="D12" s="5" t="inlineStr">
        <is>
          <t>Desacople de motor térmico, reemplazo y calibración de transeje e-CVT (MG1 y MG2)</t>
        </is>
      </c>
      <c r="E12" s="6" t="n">
        <v>5</v>
      </c>
      <c r="F12" s="7" t="n">
        <v>1</v>
      </c>
      <c r="G12" s="7" t="n">
        <v>1.4</v>
      </c>
      <c r="H12" s="7" t="n">
        <v>1.5</v>
      </c>
      <c r="I12" s="8">
        <f>E12*MAX(F12:H12)</f>
        <v/>
      </c>
    </row>
    <row r="13">
      <c r="A13" s="4" t="inlineStr">
        <is>
          <t>HYB-BAT-002</t>
        </is>
      </c>
      <c r="B13" s="9" t="n"/>
      <c r="C13" s="5" t="inlineStr">
        <is>
          <t>Batería NiMH / Litio</t>
        </is>
      </c>
      <c r="D13" s="5" t="inlineStr">
        <is>
          <t>Limpieza profunda del sistema de enfriamiento/soplador de batería híbrida trasera</t>
        </is>
      </c>
      <c r="E13" s="6" t="n">
        <v>1.5</v>
      </c>
      <c r="F13" s="7" t="n">
        <v>1.05</v>
      </c>
      <c r="G13" s="7" t="n">
        <v>1.2</v>
      </c>
      <c r="H13" s="7" t="n">
        <v>1.35</v>
      </c>
      <c r="I13" s="8">
        <f>E13*MAX(F13:H13)</f>
        <v/>
      </c>
    </row>
    <row r="14">
      <c r="A14" s="4" t="inlineStr">
        <is>
          <t>HYB-SFT-003</t>
        </is>
      </c>
      <c r="B14" s="10" t="n"/>
      <c r="C14" s="5" t="inlineStr">
        <is>
          <t>Seguridad de Alta Tensión</t>
        </is>
      </c>
      <c r="D14" s="5" t="inlineStr">
        <is>
          <t>Inspección de líneas de cableado naranja, relés de seguridad de alta tensión (SMR)</t>
        </is>
      </c>
      <c r="E14" s="6" t="n">
        <v>1.2</v>
      </c>
      <c r="F14" s="7" t="n">
        <v>1</v>
      </c>
      <c r="G14" s="7" t="n">
        <v>1.25</v>
      </c>
      <c r="H14" s="7" t="n">
        <v>1.4</v>
      </c>
      <c r="I14" s="8">
        <f>E14*MAX(F14:H14)</f>
        <v/>
      </c>
    </row>
    <row r="15">
      <c r="A15" s="11" t="inlineStr">
        <is>
          <t>H2O-CEL-001</t>
        </is>
      </c>
      <c r="B15" s="12" t="inlineStr">
        <is>
          <t>4. Nuevos Combustibles</t>
        </is>
      </c>
      <c r="C15" s="12" t="inlineStr">
        <is>
          <t>Pila de Combustible (Fuel Cell)</t>
        </is>
      </c>
      <c r="D15" s="12" t="inlineStr">
        <is>
          <t>Mantenimiento y purga de la pila de combustible de hidrógeno, filtros de aire químicos</t>
        </is>
      </c>
      <c r="E15" s="13" t="n">
        <v>4.5</v>
      </c>
      <c r="F15" s="14" t="n">
        <v>1</v>
      </c>
      <c r="G15" s="14" t="n">
        <v>1.35</v>
      </c>
      <c r="H15" s="14" t="n">
        <v>1.6</v>
      </c>
      <c r="I15" s="8">
        <f>E15*MAX(F15:H15)</f>
        <v/>
      </c>
    </row>
    <row r="16">
      <c r="A16" s="11" t="inlineStr">
        <is>
          <t>H2O-TNK-002</t>
        </is>
      </c>
      <c r="B16" s="9" t="n"/>
      <c r="C16" s="12" t="inlineStr">
        <is>
          <t>Almacenamiento H2</t>
        </is>
      </c>
      <c r="D16" s="12" t="inlineStr">
        <is>
          <t>Prueba de fuga con helio y revisión de válvulas solenoides de tanques de H2 a 700 bar</t>
        </is>
      </c>
      <c r="E16" s="13" t="n">
        <v>2.5</v>
      </c>
      <c r="F16" s="14" t="n">
        <v>1</v>
      </c>
      <c r="G16" s="14" t="n">
        <v>1.3</v>
      </c>
      <c r="H16" s="14" t="n">
        <v>1.6</v>
      </c>
      <c r="I16" s="8">
        <f>E16*MAX(F16:H16)</f>
        <v/>
      </c>
    </row>
    <row r="17">
      <c r="A17" s="11" t="inlineStr">
        <is>
          <t>GLP-LPI-003</t>
        </is>
      </c>
      <c r="B17" s="9" t="n"/>
      <c r="C17" s="12" t="inlineStr">
        <is>
          <t>GLP de Fábrica (LPI)</t>
        </is>
      </c>
      <c r="D17" s="12" t="inlineStr">
        <is>
          <t>Sustitución de bomba de gas licuado en fase líquida dentro del tanque (Coreanos)</t>
        </is>
      </c>
      <c r="E17" s="13" t="n">
        <v>2.8</v>
      </c>
      <c r="F17" s="14" t="n">
        <v>1.4</v>
      </c>
      <c r="G17" s="14" t="n">
        <v>1.1</v>
      </c>
      <c r="H17" s="14" t="n">
        <v>1.1</v>
      </c>
      <c r="I17" s="8">
        <f>E17*MAX(F17:H17)</f>
        <v/>
      </c>
    </row>
    <row r="18">
      <c r="A18" s="11" t="inlineStr">
        <is>
          <t>FLX-ETH-004</t>
        </is>
      </c>
      <c r="B18" s="10" t="n"/>
      <c r="C18" s="12" t="inlineStr">
        <is>
          <t>Flex Fuel (E85/Nafta)</t>
        </is>
      </c>
      <c r="D18" s="12" t="inlineStr">
        <is>
          <t>Cambio de sensor de porcentaje de etanol e inyectores sobredimensionados Mercosur</t>
        </is>
      </c>
      <c r="E18" s="13" t="n">
        <v>1.4</v>
      </c>
      <c r="F18" s="14" t="n">
        <v>1.1</v>
      </c>
      <c r="G18" s="14" t="n">
        <v>1.25</v>
      </c>
      <c r="H18" s="14" t="n">
        <v>1.1</v>
      </c>
      <c r="I18" s="8">
        <f>E18*MAX(F18:H18)</f>
        <v/>
      </c>
    </row>
    <row r="19">
      <c r="A19" s="4" t="inlineStr">
        <is>
          <t>BRK-ABS-001</t>
        </is>
      </c>
      <c r="B19" s="5" t="inlineStr">
        <is>
          <t>5. Frenos y Seguridad</t>
        </is>
      </c>
      <c r="C19" s="5" t="inlineStr">
        <is>
          <t>Frenado Convencional</t>
        </is>
      </c>
      <c r="D19" s="5" t="inlineStr">
        <is>
          <t>Cambio de pastillas, rectificado de discos y purga del circuito hidráulico</t>
        </is>
      </c>
      <c r="E19" s="6" t="n">
        <v>1.2</v>
      </c>
      <c r="F19" s="7" t="n">
        <v>1.1</v>
      </c>
      <c r="G19" s="7" t="n">
        <v>1.25</v>
      </c>
      <c r="H19" s="7" t="n">
        <v>1.3</v>
      </c>
      <c r="I19" s="8">
        <f>E19*MAX(F19:H19)</f>
        <v/>
      </c>
    </row>
    <row r="20">
      <c r="A20" s="4" t="inlineStr">
        <is>
          <t>BRK-EPB-002</t>
        </is>
      </c>
      <c r="B20" s="10" t="n"/>
      <c r="C20" s="5" t="inlineStr">
        <is>
          <t>Control de Estabilidad / EPB</t>
        </is>
      </c>
      <c r="D20" s="5" t="inlineStr">
        <is>
          <t>Sustitución de calipers de freno de mano electrónico (EPB) y purga por software</t>
        </is>
      </c>
      <c r="E20" s="6" t="n">
        <v>1.6</v>
      </c>
      <c r="F20" s="7" t="n">
        <v>1.2</v>
      </c>
      <c r="G20" s="7" t="n">
        <v>1.35</v>
      </c>
      <c r="H20" s="7" t="n">
        <v>1.4</v>
      </c>
      <c r="I20" s="8">
        <f>E20*MAX(F20:H20)</f>
        <v/>
      </c>
    </row>
    <row r="21">
      <c r="A21" s="11" t="inlineStr">
        <is>
          <t>VAC-HVC-001</t>
        </is>
      </c>
      <c r="B21" s="12" t="inlineStr">
        <is>
          <t>6. Climatización (HVAC)</t>
        </is>
      </c>
      <c r="C21" s="12" t="inlineStr">
        <is>
          <t>Aire Acondicionado</t>
        </is>
      </c>
      <c r="D21" s="12" t="inlineStr">
        <is>
          <t>Recarga de gas refrigerante R134a/R1234yf, detección de fugas y cambio de filtro</t>
        </is>
      </c>
      <c r="E21" s="13" t="n">
        <v>1.3</v>
      </c>
      <c r="F21" s="14" t="n">
        <v>1.15</v>
      </c>
      <c r="G21" s="14" t="n">
        <v>1.3</v>
      </c>
      <c r="H21" s="14" t="n">
        <v>1.45</v>
      </c>
      <c r="I21" s="8">
        <f>E21*MAX(F21:H21)</f>
        <v/>
      </c>
    </row>
    <row r="22">
      <c r="A22" s="11" t="inlineStr">
        <is>
          <t>VAC-HVC-002</t>
        </is>
      </c>
      <c r="B22" s="10" t="n"/>
      <c r="C22" s="12" t="inlineStr">
        <is>
          <t>Compresores Especiales</t>
        </is>
      </c>
      <c r="D22" s="12" t="inlineStr">
        <is>
          <t>Cambio de compresor de A/C scroll eléctrico (Usa aceite dieléctrico POE no conductivo)</t>
        </is>
      </c>
      <c r="E22" s="13" t="n">
        <v>2.4</v>
      </c>
      <c r="F22" s="14" t="n">
        <v>1.1</v>
      </c>
      <c r="G22" s="14" t="n">
        <v>1.35</v>
      </c>
      <c r="H22" s="14" t="n">
        <v>1.5</v>
      </c>
      <c r="I22" s="8">
        <f>E22*MAX(F22:H22)</f>
        <v/>
      </c>
    </row>
    <row r="23">
      <c r="A23" s="4" t="inlineStr">
        <is>
          <t>ADA-SCY-001</t>
        </is>
      </c>
      <c r="B23" s="5" t="inlineStr">
        <is>
          <t>7. Asistencia ADAS</t>
        </is>
      </c>
      <c r="C23" s="5" t="inlineStr">
        <is>
          <t>Sensores de Entorno</t>
        </is>
      </c>
      <c r="D23" s="5" t="inlineStr">
        <is>
          <t>Sustitución y calibración estática/dinámica de radares de proximidad y cámaras de carril</t>
        </is>
      </c>
      <c r="E23" s="6" t="n">
        <v>2</v>
      </c>
      <c r="F23" s="7" t="n">
        <v>1.2</v>
      </c>
      <c r="G23" s="7" t="n">
        <v>1.35</v>
      </c>
      <c r="H23" s="7" t="n">
        <v>1.6</v>
      </c>
      <c r="I23" s="8">
        <f>E23*MAX(F23:H23)</f>
        <v/>
      </c>
    </row>
    <row r="24">
      <c r="A24" s="4" t="inlineStr">
        <is>
          <t>ADA-SCY-002</t>
        </is>
      </c>
      <c r="B24" s="10" t="n"/>
      <c r="C24" s="5" t="inlineStr">
        <is>
          <t>Telemática e Infoentretenimiento</t>
        </is>
      </c>
      <c r="D24" s="5" t="inlineStr">
        <is>
          <t>Actualización de firmware de pasarelas (Gateways) y módulos de conectividad OTA</t>
        </is>
      </c>
      <c r="E24" s="6" t="n">
        <v>1</v>
      </c>
      <c r="F24" s="7" t="n">
        <v>1.15</v>
      </c>
      <c r="G24" s="7" t="n">
        <v>1.3</v>
      </c>
      <c r="H24" s="7" t="n">
        <v>1.4</v>
      </c>
      <c r="I24" s="8">
        <f>E24*MAX(F24:H24)</f>
        <v/>
      </c>
    </row>
  </sheetData>
  <mergeCells count="7">
    <mergeCell ref="B23:B24"/>
    <mergeCell ref="B8:B11"/>
    <mergeCell ref="B12:B14"/>
    <mergeCell ref="B15:B18"/>
    <mergeCell ref="B21:B22"/>
    <mergeCell ref="B19:B20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2026-06-14T17:24:10Z</dcterms:created>
  <dcterms:modified xmlns:dcterms="http://purl.org/dc/terms/" xmlns:xsi="http://www.w3.org/2001/XMLSchema-instance" xsi:type="dcterms:W3CDTF">2026-06-14T17:24:10Z</dcterms:modified>
</cp:coreProperties>
</file>