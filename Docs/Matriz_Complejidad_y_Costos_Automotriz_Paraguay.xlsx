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Costos y Complej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5C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385C"/>
      <sz val="10"/>
    </font>
  </fonts>
  <fills count="6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4F7FC"/>
        <bgColor rgb="00F4F7FC"/>
      </patternFill>
    </fill>
    <fill>
      <patternFill patternType="solid">
        <fgColor rgb="00E6EEFA"/>
        <bgColor rgb="00E6EEFA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/>
      <bottom/>
      <diagonal/>
    </border>
    <border>
      <left style="thin">
        <color rgb="00D0D7DE"/>
      </left>
      <right style="thin">
        <color rgb="00D0D7DE"/>
      </right>
      <top/>
      <bottom/>
      <diagonal/>
    </border>
    <border>
      <left style="thin">
        <color rgb="00D0D7DE"/>
      </left>
      <right style="thin">
        <color rgb="00D0D7DE"/>
      </right>
      <top/>
      <bottom style="thin">
        <color rgb="00D0D7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25" customWidth="1" min="4" max="4"/>
    <col width="25" customWidth="1" min="5" max="5"/>
    <col width="28" customWidth="1" min="6" max="6"/>
    <col width="28" customWidth="1" min="7" max="7"/>
    <col width="33" customWidth="1" min="8" max="8"/>
    <col width="23" customWidth="1" min="9" max="9"/>
    <col width="37" customWidth="1" min="10" max="10"/>
  </cols>
  <sheetData>
    <row r="1">
      <c r="A1" s="1" t="inlineStr">
        <is>
          <t>MATRIZ AVANZADA DE TIEMPOS, COMPLEJIDAD Y COSTOS DE MANO DE OBRA - PARAGUAY</t>
        </is>
      </c>
    </row>
    <row r="2">
      <c r="A2" s="2" t="inlineStr">
        <is>
          <t>Modelado de Ingeniería de Planta: Ajustes por Procedencia, Desarme Crítico y Herramental Especializado (Actualizado 2026)</t>
        </is>
      </c>
    </row>
    <row r="3"/>
    <row r="4" ht="30" customHeight="1">
      <c r="A4" s="3" t="inlineStr">
        <is>
          <t>Segmento de Vehículo</t>
        </is>
      </c>
      <c r="B4" s="3" t="inlineStr">
        <is>
          <t>Tipo de Mantenimiento</t>
        </is>
      </c>
      <c r="C4" s="3" t="inlineStr">
        <is>
          <t>Horas Promedio</t>
        </is>
      </c>
      <c r="D4" s="3" t="inlineStr">
        <is>
          <t>Complejidad Japoneses (Toyota/Suzuki)</t>
        </is>
      </c>
      <c r="E4" s="3" t="inlineStr">
        <is>
          <t>Complejidad Coreanos (Hyundai/Kia)</t>
        </is>
      </c>
      <c r="F4" s="3" t="inlineStr">
        <is>
          <t>Complejidad Americanos/Europeos (Ford/VW/Fiat)</t>
        </is>
      </c>
      <c r="G4" s="3" t="inlineStr">
        <is>
          <t>Complejidad Chinos/Híbridos (BYD/Changan)</t>
        </is>
      </c>
      <c r="H4" s="3" t="inlineStr">
        <is>
          <t>Factor Recargo Máximo Aplicado</t>
        </is>
      </c>
      <c r="I4" s="3" t="inlineStr">
        <is>
          <t>Costo Base H/H (Gs.)</t>
        </is>
      </c>
      <c r="J4" s="3" t="inlineStr">
        <is>
          <t>Precio Final de Mano de Obra (Gs.)</t>
        </is>
      </c>
    </row>
    <row r="5">
      <c r="A5" s="4" t="inlineStr">
        <is>
          <t>Auto Pequeño (A-B)</t>
        </is>
      </c>
      <c r="B5" s="4" t="inlineStr">
        <is>
          <t>Súper Liviano</t>
        </is>
      </c>
      <c r="C5" s="5" t="n">
        <v>0.4</v>
      </c>
      <c r="D5" s="4" t="inlineStr">
        <is>
          <t>Baja: Filtros accesibles</t>
        </is>
      </c>
      <c r="E5" s="4" t="inlineStr">
        <is>
          <t>Baja: Desarme simple</t>
        </is>
      </c>
      <c r="F5" s="4" t="inlineStr">
        <is>
          <t>Media: Filtros de habitáculo trabados</t>
        </is>
      </c>
      <c r="G5" s="4" t="inlineStr">
        <is>
          <t>Media: Desconexiones electrónicas</t>
        </is>
      </c>
      <c r="H5" s="5" t="n">
        <v>1.05</v>
      </c>
      <c r="I5" s="6" t="n">
        <v>100000</v>
      </c>
      <c r="J5" s="7">
        <f>C5*I5*H5</f>
        <v/>
      </c>
    </row>
    <row r="6">
      <c r="A6" s="8" t="n"/>
      <c r="B6" s="4" t="inlineStr">
        <is>
          <t>Liviano</t>
        </is>
      </c>
      <c r="C6" s="5" t="n">
        <v>0.5600000000000001</v>
      </c>
      <c r="D6" s="4" t="inlineStr">
        <is>
          <t>Baja: Frenos estándar</t>
        </is>
      </c>
      <c r="E6" s="4" t="inlineStr">
        <is>
          <t>Baja: Calipers convencionales</t>
        </is>
      </c>
      <c r="F6" s="4" t="inlineStr">
        <is>
          <t>Media: Sensores ABS delicados</t>
        </is>
      </c>
      <c r="G6" s="4" t="inlineStr">
        <is>
          <t>Media: Purga electrónica Frenos</t>
        </is>
      </c>
      <c r="H6" s="5" t="n">
        <v>1.1</v>
      </c>
      <c r="I6" s="6" t="n">
        <v>110000</v>
      </c>
      <c r="J6" s="7">
        <f>C6*I6*H6</f>
        <v/>
      </c>
    </row>
    <row r="7">
      <c r="A7" s="8" t="n"/>
      <c r="B7" s="4" t="inlineStr">
        <is>
          <t>Mediano</t>
        </is>
      </c>
      <c r="C7" s="5" t="n">
        <v>1.72</v>
      </c>
      <c r="D7" s="4" t="inlineStr">
        <is>
          <t>Baja: Suspensión McPherson simple</t>
        </is>
      </c>
      <c r="E7" s="4" t="inlineStr">
        <is>
          <t>Media: Brazos compactos</t>
        </is>
      </c>
      <c r="F7" s="4" t="inlineStr">
        <is>
          <t>Alta: Ford (Pernos Torx/Prensa especial)</t>
        </is>
      </c>
      <c r="G7" s="4" t="inlineStr">
        <is>
          <t>Alta: Desensamble de baterías 12V/48V</t>
        </is>
      </c>
      <c r="H7" s="5" t="n">
        <v>1.25</v>
      </c>
      <c r="I7" s="6" t="n">
        <v>125000</v>
      </c>
      <c r="J7" s="7">
        <f>C7*I7*H7</f>
        <v/>
      </c>
    </row>
    <row r="8">
      <c r="A8" s="9" t="n"/>
      <c r="B8" s="4" t="inlineStr">
        <is>
          <t>Pesado</t>
        </is>
      </c>
      <c r="C8" s="5" t="n">
        <v>2.48</v>
      </c>
      <c r="D8" s="4" t="inlineStr">
        <is>
          <t>Media: Volante cambiado (Mazos JDM)</t>
        </is>
      </c>
      <c r="E8" s="4" t="inlineStr">
        <is>
          <t>Media: Distribución accesible</t>
        </is>
      </c>
      <c r="F8" s="4" t="inlineStr">
        <is>
          <t>Crítica: Ford/Euro (Correa bañada en aceite)</t>
        </is>
      </c>
      <c r="G8" s="4" t="inlineStr">
        <is>
          <t>Alta: Protocolos de aislamiento eléctrico</t>
        </is>
      </c>
      <c r="H8" s="5" t="n">
        <v>1.4</v>
      </c>
      <c r="I8" s="6" t="n">
        <v>145000</v>
      </c>
      <c r="J8" s="7">
        <f>C8*I8*H8</f>
        <v/>
      </c>
    </row>
    <row r="9">
      <c r="A9" s="10" t="inlineStr">
        <is>
          <t>Auto Mediano (C)</t>
        </is>
      </c>
      <c r="B9" s="10" t="inlineStr">
        <is>
          <t>Súper Liviano</t>
        </is>
      </c>
      <c r="C9" s="11" t="n">
        <v>0.4</v>
      </c>
      <c r="D9" s="10" t="inlineStr">
        <is>
          <t>Baja: Estándar global</t>
        </is>
      </c>
      <c r="E9" s="10" t="inlineStr">
        <is>
          <t>Baja: Sin obstrucción</t>
        </is>
      </c>
      <c r="F9" s="10" t="inlineStr">
        <is>
          <t>Media: Acceso a cárter requiere llaves especiales</t>
        </is>
      </c>
      <c r="G9" s="10" t="inlineStr">
        <is>
          <t>Media: Inicialización por escáner de reseteo</t>
        </is>
      </c>
      <c r="H9" s="11" t="n">
        <v>1.05</v>
      </c>
      <c r="I9" s="12" t="n">
        <v>100000</v>
      </c>
      <c r="J9" s="7">
        <f>C9*I9*H9</f>
        <v/>
      </c>
    </row>
    <row r="10">
      <c r="A10" s="8" t="n"/>
      <c r="B10" s="10" t="inlineStr">
        <is>
          <t>Liviano</t>
        </is>
      </c>
      <c r="C10" s="11" t="n">
        <v>0.5600000000000001</v>
      </c>
      <c r="D10" s="10" t="inlineStr">
        <is>
          <t>Baja: Pastillas convencionales</t>
        </is>
      </c>
      <c r="E10" s="10" t="inlineStr">
        <is>
          <t>Media: Freno de mano electrónico</t>
        </is>
      </c>
      <c r="F10" s="10" t="inlineStr">
        <is>
          <t>Alta: Calipers integrados EPB epoxímicos</t>
        </is>
      </c>
      <c r="G10" s="10" t="inlineStr">
        <is>
          <t>Alta: Calibración de regeneración de frenado</t>
        </is>
      </c>
      <c r="H10" s="11" t="n">
        <v>1.15</v>
      </c>
      <c r="I10" s="12" t="n">
        <v>110000</v>
      </c>
      <c r="J10" s="7">
        <f>C10*I10*H10</f>
        <v/>
      </c>
    </row>
    <row r="11">
      <c r="A11" s="8" t="n"/>
      <c r="B11" s="10" t="inlineStr">
        <is>
          <t>Mediano</t>
        </is>
      </c>
      <c r="C11" s="11" t="n">
        <v>1.72</v>
      </c>
      <c r="D11" s="10" t="inlineStr">
        <is>
          <t>Media: Cremallera JDM adaptada</t>
        </is>
      </c>
      <c r="E11" s="10" t="inlineStr">
        <is>
          <t>Media: Suspensión multibrazo</t>
        </is>
      </c>
      <c r="F11" s="10" t="inlineStr">
        <is>
          <t>Alta: Ford/Chevrolet (Cajas automáticas compactas)</t>
        </is>
      </c>
      <c r="G11" s="10" t="inlineStr">
        <is>
          <t>Crítica: Inversores y cableado naranja (Seguridad)</t>
        </is>
      </c>
      <c r="H11" s="11" t="n">
        <v>1.3</v>
      </c>
      <c r="I11" s="12" t="n">
        <v>125000</v>
      </c>
      <c r="J11" s="7">
        <f>C11*I11*H11</f>
        <v/>
      </c>
    </row>
    <row r="12">
      <c r="A12" s="9" t="n"/>
      <c r="B12" s="10" t="inlineStr">
        <is>
          <t>Pesado</t>
        </is>
      </c>
      <c r="C12" s="11" t="n">
        <v>2.58</v>
      </c>
      <c r="D12" s="10" t="inlineStr">
        <is>
          <t>Media: Distribución por cadena duradera</t>
        </is>
      </c>
      <c r="E12" s="10" t="inlineStr">
        <is>
          <t>Alta: Inyección GDI (Extracción de carbón)</t>
        </is>
      </c>
      <c r="F12" s="10" t="inlineStr">
        <is>
          <t>Crítica: Motores Ecoboost / TSI (Puesta a punto)</t>
        </is>
      </c>
      <c r="G12" s="10" t="inlineStr">
        <is>
          <t>Crítica: Gestión de celdas de batería de tracción</t>
        </is>
      </c>
      <c r="H12" s="11" t="n">
        <v>1.45</v>
      </c>
      <c r="I12" s="12" t="n">
        <v>145000</v>
      </c>
      <c r="J12" s="7">
        <f>C12*I12*H12</f>
        <v/>
      </c>
    </row>
    <row r="13">
      <c r="A13" s="4" t="inlineStr">
        <is>
          <t>SUV Mediano (4x2)</t>
        </is>
      </c>
      <c r="B13" s="4" t="inlineStr">
        <is>
          <t>Súper Liviano</t>
        </is>
      </c>
      <c r="C13" s="5" t="n">
        <v>0.4</v>
      </c>
      <c r="D13" s="4" t="inlineStr">
        <is>
          <t>Baja: Espacio amplio</t>
        </is>
      </c>
      <c r="E13" s="4" t="inlineStr">
        <is>
          <t>Baja: Mantenimiento fluido</t>
        </is>
      </c>
      <c r="F13" s="4" t="inlineStr">
        <is>
          <t>Media: Protectores plásticos con grapas frágiles</t>
        </is>
      </c>
      <c r="G13" s="4" t="inlineStr">
        <is>
          <t>Media: Monitoreo de refrigerante de batería</t>
        </is>
      </c>
      <c r="H13" s="5" t="n">
        <v>1.1</v>
      </c>
      <c r="I13" s="6" t="n">
        <v>100000</v>
      </c>
      <c r="J13" s="7">
        <f>C13*I13*H13</f>
        <v/>
      </c>
    </row>
    <row r="14">
      <c r="A14" s="8" t="n"/>
      <c r="B14" s="4" t="inlineStr">
        <is>
          <t>Liviano</t>
        </is>
      </c>
      <c r="C14" s="5" t="n">
        <v>0.64</v>
      </c>
      <c r="D14" s="4" t="inlineStr">
        <is>
          <t>Baja: Desgaste parejo</t>
        </is>
      </c>
      <c r="E14" s="4" t="inlineStr">
        <is>
          <t>Media: Sensores de control de estabilidad</t>
        </is>
      </c>
      <c r="F14" s="4" t="inlineStr">
        <is>
          <t>Alta: Ford (Módulos de rueda integrados)</t>
        </is>
      </c>
      <c r="G14" s="4" t="inlineStr">
        <is>
          <t>Alta: Actualizaciones de Firmware de frenado</t>
        </is>
      </c>
      <c r="H14" s="5" t="n">
        <v>1.2</v>
      </c>
      <c r="I14" s="6" t="n">
        <v>110000</v>
      </c>
      <c r="J14" s="7">
        <f>C14*I14*H14</f>
        <v/>
      </c>
    </row>
    <row r="15">
      <c r="A15" s="8" t="n"/>
      <c r="B15" s="4" t="inlineStr">
        <is>
          <t>Mediano</t>
        </is>
      </c>
      <c r="C15" s="5" t="n">
        <v>1.95</v>
      </c>
      <c r="D15" s="4" t="inlineStr">
        <is>
          <t>Media: Bujes de parrilla convencionales</t>
        </is>
      </c>
      <c r="E15" s="4" t="inlineStr">
        <is>
          <t>Alta: Amortiguación electrónica/Multibrazo</t>
        </is>
      </c>
      <c r="F15" s="4" t="inlineStr">
        <is>
          <t>Alta: Herramientas milimétricas y Torx Plus</t>
        </is>
      </c>
      <c r="G15" s="4" t="inlineStr">
        <is>
          <t>Crítica: Aislamiento completo del sistema HEV</t>
        </is>
      </c>
      <c r="H15" s="5" t="n">
        <v>1.25</v>
      </c>
      <c r="I15" s="6" t="n">
        <v>125000</v>
      </c>
      <c r="J15" s="7">
        <f>C15*I15*H15</f>
        <v/>
      </c>
    </row>
    <row r="16">
      <c r="A16" s="9" t="n"/>
      <c r="B16" s="4" t="inlineStr">
        <is>
          <t>Pesado</t>
        </is>
      </c>
      <c r="C16" s="5" t="n">
        <v>3.01</v>
      </c>
      <c r="D16" s="4" t="inlineStr">
        <is>
          <t>Media: Transmisiones CVT estables</t>
        </is>
      </c>
      <c r="E16" s="4" t="inlineStr">
        <is>
          <t>Alta: Descarbonización de culata CRDI/GDI</t>
        </is>
      </c>
      <c r="F16" s="4" t="inlineStr">
        <is>
          <t>Crítica: Ford EcoBlue (Extrema precisión de calados)</t>
        </is>
      </c>
      <c r="G16" s="4" t="inlineStr">
        <is>
          <t>Crítica: Diagnóstico de fallas en BMS (Battery Management)</t>
        </is>
      </c>
      <c r="H16" s="5" t="n">
        <v>1.5</v>
      </c>
      <c r="I16" s="6" t="n">
        <v>145000</v>
      </c>
      <c r="J16" s="7">
        <f>C16*I16*H16</f>
        <v/>
      </c>
    </row>
    <row r="17">
      <c r="A17" s="10" t="inlineStr">
        <is>
          <t>SUV Gde / Pick-Up</t>
        </is>
      </c>
      <c r="B17" s="10" t="inlineStr">
        <is>
          <t>Súper Liviano</t>
        </is>
      </c>
      <c r="C17" s="11" t="n">
        <v>0.4</v>
      </c>
      <c r="D17" s="10" t="inlineStr">
        <is>
          <t>Baja: Filtros externos directos</t>
        </is>
      </c>
      <c r="E17" s="10" t="inlineStr">
        <is>
          <t>Media: Filtros de combustible duales</t>
        </is>
      </c>
      <c r="F17" s="10" t="inlineStr">
        <is>
          <t>Media: Cárter compuesto con tapón especial</t>
        </is>
      </c>
      <c r="G17" s="10" t="inlineStr">
        <is>
          <t>Media: Sistemas térmicos de baterías grandes</t>
        </is>
      </c>
      <c r="H17" s="11" t="n">
        <v>1.1</v>
      </c>
      <c r="I17" s="12" t="n">
        <v>100000</v>
      </c>
      <c r="J17" s="7">
        <f>C17*I17*H17</f>
        <v/>
      </c>
    </row>
    <row r="18">
      <c r="A18" s="8" t="n"/>
      <c r="B18" s="10" t="inlineStr">
        <is>
          <t>Liviano</t>
        </is>
      </c>
      <c r="C18" s="11" t="n">
        <v>0.57</v>
      </c>
      <c r="D18" s="10" t="inlineStr">
        <is>
          <t>Baja: Frenos pesados pero simples</t>
        </is>
      </c>
      <c r="E18" s="10" t="inlineStr">
        <is>
          <t>Media: Discos integrados a masa</t>
        </is>
      </c>
      <c r="F18" s="10" t="inlineStr">
        <is>
          <t>Alta: Sensores de torque y pastillas específicas</t>
        </is>
      </c>
      <c r="G18" s="10" t="inlineStr">
        <is>
          <t>Alta: Calibración de torque regenerativo pesado</t>
        </is>
      </c>
      <c r="H18" s="11" t="n">
        <v>1.15</v>
      </c>
      <c r="I18" s="12" t="n">
        <v>110000</v>
      </c>
      <c r="J18" s="7">
        <f>C18*I18*H18</f>
        <v/>
      </c>
    </row>
    <row r="19">
      <c r="A19" s="8" t="n"/>
      <c r="B19" s="10" t="inlineStr">
        <is>
          <t>Mediano</t>
        </is>
      </c>
      <c r="C19" s="11" t="n">
        <v>2.04</v>
      </c>
      <c r="D19" s="10" t="inlineStr">
        <is>
          <t>Media: Cardanes y engrase de crucetas</t>
        </is>
      </c>
      <c r="E19" s="10" t="inlineStr">
        <is>
          <t>Alta: Actuadores de caja de transferencia 4x4</t>
        </is>
      </c>
      <c r="F19" s="10" t="inlineStr">
        <is>
          <t>Crítica: Ford Ranger (Suspensión compleja/Herramental)</t>
        </is>
      </c>
      <c r="G19" s="10" t="inlineStr">
        <is>
          <t>Alta: Módulos de tracción e-4WD integrados</t>
        </is>
      </c>
      <c r="H19" s="11" t="n">
        <v>1.35</v>
      </c>
      <c r="I19" s="12" t="n">
        <v>125000</v>
      </c>
      <c r="J19" s="7">
        <f>C19*I19*H19</f>
        <v/>
      </c>
    </row>
    <row r="20">
      <c r="A20" s="9" t="n"/>
      <c r="B20" s="10" t="inlineStr">
        <is>
          <t>Pesado</t>
        </is>
      </c>
      <c r="C20" s="11" t="n">
        <v>3.11</v>
      </c>
      <c r="D20" s="10" t="inlineStr">
        <is>
          <t>Alta: Inyección D-4D (Acceso intercooler)</t>
        </is>
      </c>
      <c r="E20" s="10" t="inlineStr">
        <is>
          <t>Crítica: Motores CRDI (Extracción de inyectores clavados)</t>
        </is>
      </c>
      <c r="F20" s="10" t="inlineStr">
        <is>
          <t>Crítica: Ford Panther/Duratorq (Desarme de trompa entera)</t>
        </is>
      </c>
      <c r="G20" s="10" t="inlineStr">
        <is>
          <t>Crítica: Desconexión de bancos de celdas de potencia</t>
        </is>
      </c>
      <c r="H20" s="11" t="n">
        <v>1.6</v>
      </c>
      <c r="I20" s="12" t="n">
        <v>145000</v>
      </c>
      <c r="J20" s="7">
        <f>C20*I20*H20</f>
        <v/>
      </c>
    </row>
  </sheetData>
  <mergeCells count="4">
    <mergeCell ref="A13:A16"/>
    <mergeCell ref="A9:A12"/>
    <mergeCell ref="A17:A20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2026-06-14T17:06:49Z</dcterms:created>
  <dcterms:modified xmlns:dcterms="http://purl.org/dc/terms/" xmlns:xsi="http://www.w3.org/2001/XMLSchema-instance" xsi:type="dcterms:W3CDTF">2026-06-14T17:06:49Z</dcterms:modified>
</cp:coreProperties>
</file>